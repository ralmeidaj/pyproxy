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ueprint" sheetId="1" state="visible" r:id="rId3"/>
    <sheet name="Resumo" sheetId="2" state="visible" r:id="rId4"/>
  </sheets>
  <definedNames>
    <definedName function="false" hidden="true" localSheetId="0" name="_xlnm._FilterDatabase" vbProcedure="false">Blueprint!$A$3:$H$53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<sst xmlns="http://schemas.openxmlformats.org/spreadsheetml/2006/main" count="347" uniqueCount="148">
  <si>
    <t xml:space="preserve">PayProxy — Matriz-Blueprint de Requisitos e Prova de Conceito (5 editais)</t>
  </si>
  <si>
    <t xml:space="preserve">Fontes: ETP Boituva · Edital Mococa · Edital CIM Jequitinhonha · Jaguariúna (TR/ETP) · Alagoinhas (Edital + Anexo I/PoC).   Situação: Previsto = no escopo/institucional · A incluir = lacuna a desenvolver · A decidir = decisão de escopo.   Tributos no escopo: IPTU, TFF e ISS autônomo.</t>
  </si>
  <si>
    <t xml:space="preserve">Nº</t>
  </si>
  <si>
    <t xml:space="preserve">Bloco (jornada da PoC)</t>
  </si>
  <si>
    <t xml:space="preserve">Requisito / Funcionalidade</t>
  </si>
  <si>
    <t xml:space="preserve">Fonte (edital / PoC)</t>
  </si>
  <si>
    <t xml:space="preserve">Mandatório na PoC?</t>
  </si>
  <si>
    <t xml:space="preserve">Camada</t>
  </si>
  <si>
    <t xml:space="preserve">Situação no escopo</t>
  </si>
  <si>
    <t xml:space="preserve">Nota</t>
  </si>
  <si>
    <t xml:space="preserve">A · Ingestão, cadastro e integração</t>
  </si>
  <si>
    <t xml:space="preserve">Importação da base/lançamentos (txt/csv/xml/xls)</t>
  </si>
  <si>
    <t xml:space="preserve">Boituva; Mococa; PoC CIM Mód.1; PoC Alagoinhas §1</t>
  </si>
  <si>
    <t xml:space="preserve">Sim</t>
  </si>
  <si>
    <t xml:space="preserve">PayProxy</t>
  </si>
  <si>
    <t xml:space="preserve">Previsto</t>
  </si>
  <si>
    <t xml:space="preserve">Base do IPTU e demais tributos</t>
  </si>
  <si>
    <t xml:space="preserve">Painel de ranqueamento da importação (importados × rejeitados)</t>
  </si>
  <si>
    <t xml:space="preserve">PoC Alagoinhas §1</t>
  </si>
  <si>
    <t xml:space="preserve">A incluir</t>
  </si>
  <si>
    <t xml:space="preserve">Lacuna</t>
  </si>
  <si>
    <t xml:space="preserve">Arquivo de retorno de rejeitados, com motivo</t>
  </si>
  <si>
    <t xml:space="preserve">Validação na captura (data, CPF/CNPJ, endereço, e-mail)</t>
  </si>
  <si>
    <t xml:space="preserve">PoC Alagoinhas §2</t>
  </si>
  <si>
    <t xml:space="preserve">Cadastro imobiliário (IPTU) e mobiliário (ISS/Taxas)</t>
  </si>
  <si>
    <t xml:space="preserve">Vem da base do município</t>
  </si>
  <si>
    <t xml:space="preserve">Integração com o sistema tributário/GRP existente</t>
  </si>
  <si>
    <t xml:space="preserve">Mococa (RNF4); Jaguariúna (TR); Boituva; PoC CIM Mód.1</t>
  </si>
  <si>
    <t xml:space="preserve">Sem trocar o GRP</t>
  </si>
  <si>
    <t xml:space="preserve">API RESTful (JSON/XML): emissão, cancelamento, baixa, consulta</t>
  </si>
  <si>
    <t xml:space="preserve">PoC CIM Mód.1; Jaguariúna (TR)</t>
  </si>
  <si>
    <t xml:space="preserve">Lacuna — método de integração exigido</t>
  </si>
  <si>
    <t xml:space="preserve">Integração por arquivo via SFTP (padrões CNAB)</t>
  </si>
  <si>
    <t xml:space="preserve">Jaguariúna (TR)</t>
  </si>
  <si>
    <t xml:space="preserve">Verificar</t>
  </si>
  <si>
    <t xml:space="preserve">Higienização e enriquecimento cadastral</t>
  </si>
  <si>
    <t xml:space="preserve">Boituva (dor apontada no ETP)</t>
  </si>
  <si>
    <t xml:space="preserve">Desejável</t>
  </si>
  <si>
    <t xml:space="preserve">Diferencial (inovação)</t>
  </si>
  <si>
    <t xml:space="preserve">B · Emissão e registro</t>
  </si>
  <si>
    <t xml:space="preserve">Geração de guia 100% registrada</t>
  </si>
  <si>
    <t xml:space="preserve">Todos os editais</t>
  </si>
  <si>
    <t xml:space="preserve">PayProxy + BaaS</t>
  </si>
  <si>
    <t xml:space="preserve">Objeto de todos os editais</t>
  </si>
  <si>
    <t xml:space="preserve">Boleto CNAB 240/400 registrado na CIP/Núclea</t>
  </si>
  <si>
    <t xml:space="preserve">PoC CIM Mód.3; Jaguariúna; PoC Alagoinhas §3 (FEBRABAN)</t>
  </si>
  <si>
    <t xml:space="preserve">BaaS (registra) / PayProxy (orquestra)</t>
  </si>
  <si>
    <t xml:space="preserve">PIX BR Code dinâmico</t>
  </si>
  <si>
    <t xml:space="preserve">Todos; PoC CIM Mód.3; PoC Alagoinhas §3</t>
  </si>
  <si>
    <t xml:space="preserve">BaaS / PayProxy</t>
  </si>
  <si>
    <t xml:space="preserve">DDA (Débito Direto Autorizado) na Núclea</t>
  </si>
  <si>
    <t xml:space="preserve">PoC CIM Mód.3; Boituva; Mococa</t>
  </si>
  <si>
    <t xml:space="preserve">Sim (CIM)</t>
  </si>
  <si>
    <t xml:space="preserve">Alagoinhas foca FEBRABAN+PIX</t>
  </si>
  <si>
    <t xml:space="preserve">Emissão simultânea de todos os meios de pagamento</t>
  </si>
  <si>
    <t xml:space="preserve">PoC CIM Mód.3</t>
  </si>
  <si>
    <t xml:space="preserve">Cálculo/atualização automática de juros, multa e desconto</t>
  </si>
  <si>
    <t xml:space="preserve">PoC CIM; PoC Alagoinhas §3; institucional PayProxy</t>
  </si>
  <si>
    <t xml:space="preserve">Consta no institucional</t>
  </si>
  <si>
    <t xml:space="preserve">Corrigir valor/multa/juros sem emitir nova guia</t>
  </si>
  <si>
    <t xml:space="preserve">PoC Alagoinhas §3</t>
  </si>
  <si>
    <t xml:space="preserve">Confirmar</t>
  </si>
  <si>
    <t xml:space="preserve">Registro por batch / contingência com reenvio</t>
  </si>
  <si>
    <t xml:space="preserve">Boituva; PoC CIM Mód.3</t>
  </si>
  <si>
    <t xml:space="preserve">2ª via e parcelamento</t>
  </si>
  <si>
    <t xml:space="preserve">Abertura de Conta Cobrança + KYC (pelo aplicativo)</t>
  </si>
  <si>
    <t xml:space="preserve">PoC CIM Mód.2</t>
  </si>
  <si>
    <t xml:space="preserve">PayProxy (onboarding) + BaaS (conta)</t>
  </si>
  <si>
    <t xml:space="preserve">Lacuna — o app abre, o BaaS detém a conta</t>
  </si>
  <si>
    <t xml:space="preserve">C · Meios de pagamento</t>
  </si>
  <si>
    <t xml:space="preserve">Multicanal (bancos, lotéricas, correspondente, PIX, débito autom.)</t>
  </si>
  <si>
    <t xml:space="preserve">Boituva; todos</t>
  </si>
  <si>
    <t xml:space="preserve">Pagamento por cartão de crédito/débito</t>
  </si>
  <si>
    <t xml:space="preserve">Boituva; Mococa</t>
  </si>
  <si>
    <t xml:space="preserve">A decidir</t>
  </si>
  <si>
    <t xml:space="preserve">Lacuna — decisão de escopo</t>
  </si>
  <si>
    <t xml:space="preserve">D · Cobrança ativa</t>
  </si>
  <si>
    <t xml:space="preserve">Opt-In / carnê digital</t>
  </si>
  <si>
    <t xml:space="preserve">Notificação por DDA (app do banco)</t>
  </si>
  <si>
    <t xml:space="preserve">PoC CIM; institucional</t>
  </si>
  <si>
    <t xml:space="preserve">E-mail registrado/certificado (ICP-Brasil)</t>
  </si>
  <si>
    <t xml:space="preserve">Institucional PayProxy</t>
  </si>
  <si>
    <t xml:space="preserve">Diferencial</t>
  </si>
  <si>
    <t xml:space="preserve">WhatsApp oficial verificado</t>
  </si>
  <si>
    <t xml:space="preserve">Institucional; PoC CIM (consulta via WhatsApp)</t>
  </si>
  <si>
    <t xml:space="preserve">Régua de cobrança + monitoramento de inadimplência</t>
  </si>
  <si>
    <t xml:space="preserve">Boituva; Mococa; PoC Alagoinhas §5</t>
  </si>
  <si>
    <t xml:space="preserve">E · Conciliação e baixa</t>
  </si>
  <si>
    <t xml:space="preserve">Conciliação automática e baixa por tributo/parcela</t>
  </si>
  <si>
    <t xml:space="preserve">Arquivo de retorno / baixa no padrão FEBRABAN</t>
  </si>
  <si>
    <t xml:space="preserve">Boituva; PoC Alagoinhas; CIM</t>
  </si>
  <si>
    <t xml:space="preserve">Envio de arquivo diário FEBRABAN até 12h</t>
  </si>
  <si>
    <t xml:space="preserve">Inutilização dos demais meios após a liquidação</t>
  </si>
  <si>
    <t xml:space="preserve">Split / Conta Repasse com transferência automática diária</t>
  </si>
  <si>
    <t xml:space="preserve">PoC CIM</t>
  </si>
  <si>
    <t xml:space="preserve">Repasse por conta de destino</t>
  </si>
  <si>
    <t xml:space="preserve">F · Acesso do contribuinte online</t>
  </si>
  <si>
    <t xml:space="preserve">Portal web próprio + App do contribuinte</t>
  </si>
  <si>
    <t xml:space="preserve">Boituva; Mococa; PoC Alagoinhas §4; PoC CIM Mód.1</t>
  </si>
  <si>
    <t xml:space="preserve">Lacuna — acesso online</t>
  </si>
  <si>
    <t xml:space="preserve">Consulta de lançamentos por CPF/CNPJ + inscrição</t>
  </si>
  <si>
    <t xml:space="preserve">PoC Alagoinhas §4</t>
  </si>
  <si>
    <t xml:space="preserve">2ª via e situação (paga/aberta) em autoatendimento</t>
  </si>
  <si>
    <t xml:space="preserve">Retificação cadastral pelo contribuinte + homologação SEFAZ</t>
  </si>
  <si>
    <t xml:space="preserve">CzRM — jornada do cidadão</t>
  </si>
  <si>
    <t xml:space="preserve">Boituva</t>
  </si>
  <si>
    <t xml:space="preserve">G · Gestão / BI / sala de situação</t>
  </si>
  <si>
    <t xml:space="preserve">Painel de monitoramento de receitas / sala de situação</t>
  </si>
  <si>
    <t xml:space="preserve">Boituva; Mococa; PoC Alagoinhas §5; institucional</t>
  </si>
  <si>
    <t xml:space="preserve">Painel do Secretário</t>
  </si>
  <si>
    <t xml:space="preserve">Filtros cruzados (tributo, canal, instituição, data)</t>
  </si>
  <si>
    <t xml:space="preserve">Boituva; PoC Alagoinhas §5</t>
  </si>
  <si>
    <t xml:space="preserve">Guias por bairro e loteamento (geointeligência)</t>
  </si>
  <si>
    <t xml:space="preserve">PoC Alagoinhas §5</t>
  </si>
  <si>
    <t xml:space="preserve">Exigência de PoC + diferencial</t>
  </si>
  <si>
    <t xml:space="preserve">Situação da inadimplência (por bairro/faixa)</t>
  </si>
  <si>
    <t xml:space="preserve">PoC Alagoinhas §5; Boituva; institucional</t>
  </si>
  <si>
    <t xml:space="preserve">Relatórios exportáveis + logs de auditoria</t>
  </si>
  <si>
    <t xml:space="preserve">H · Segurança, LGPD e operação</t>
  </si>
  <si>
    <t xml:space="preserve">LGPD embarcada (base legal, consentimento, direitos, ROPA/RIPD)</t>
  </si>
  <si>
    <t xml:space="preserve">Todos; institucional PayProxy</t>
  </si>
  <si>
    <t xml:space="preserve">Diferencial demonstrável</t>
  </si>
  <si>
    <t xml:space="preserve">2FA / autenticação restrita</t>
  </si>
  <si>
    <t xml:space="preserve">Mococa; PoC CIM</t>
  </si>
  <si>
    <t xml:space="preserve">Segurança da informação (criptografia, trilha de auditoria)</t>
  </si>
  <si>
    <t xml:space="preserve">SLA (99,5% no CIM; por prioridade em Mococa)</t>
  </si>
  <si>
    <t xml:space="preserve">CIM; Mococa</t>
  </si>
  <si>
    <t xml:space="preserve">Guarda de dados por 5 anos</t>
  </si>
  <si>
    <t xml:space="preserve">Suporte técnico</t>
  </si>
  <si>
    <t xml:space="preserve">I · Modelo de entrega e comercial</t>
  </si>
  <si>
    <t xml:space="preserve">SaaS (nuvem)</t>
  </si>
  <si>
    <t xml:space="preserve">Todos; institucional</t>
  </si>
  <si>
    <t xml:space="preserve">Modelo padrão</t>
  </si>
  <si>
    <t xml:space="preserve">On-Premise / híbrido (nuvem + no cliente)</t>
  </si>
  <si>
    <t xml:space="preserve">Jaguariúna; Boituva (SaaS ou licença de uso)</t>
  </si>
  <si>
    <t xml:space="preserve">Depende do edital</t>
  </si>
  <si>
    <t xml:space="preserve">Decisão de arquitetura; trilho continua na nuvem</t>
  </si>
  <si>
    <t xml:space="preserve">Remuneração por guia liquidada / sem CAPEX</t>
  </si>
  <si>
    <t xml:space="preserve">CIM; institucional</t>
  </si>
  <si>
    <t xml:space="preserve">—</t>
  </si>
  <si>
    <t xml:space="preserve">Diferencial comercial</t>
  </si>
  <si>
    <t xml:space="preserve">Resumo da matriz</t>
  </si>
  <si>
    <t xml:space="preserve">Total de requisitos</t>
  </si>
  <si>
    <t xml:space="preserve">Previsto (no escopo)</t>
  </si>
  <si>
    <t xml:space="preserve">A incluir (lacunas)</t>
  </si>
  <si>
    <t xml:space="preserve">A decidir (escopo)</t>
  </si>
  <si>
    <t xml:space="preserve">Mandatórios na PoC (Sim)</t>
  </si>
  <si>
    <t xml:space="preserve">Legenda de camada: PayProxy = nossa aplicação · BaaS = trilho (PjBank/Celcoin/QI Tech) · PayProxy + BaaS = orquestração nossa sobre o trilho.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</si>
</sst>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E2A47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2A47"/>
        <bgColor rgb="FF333333"/>
      </patternFill>
    </fill>
    <fill>
      <patternFill patternType="solid">
        <fgColor rgb="FFE4F2E8"/>
        <bgColor rgb="FFECECEC"/>
      </patternFill>
    </fill>
    <fill>
      <patternFill patternType="solid">
        <fgColor rgb="FFFBEFD6"/>
        <bgColor rgb="FFECECEC"/>
      </patternFill>
    </fill>
    <fill>
      <patternFill patternType="solid">
        <fgColor rgb="FFECECEC"/>
        <bgColor rgb="FFE4F2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E2A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F2E8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FBEF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FD6"/>
      <rgbColor rgb="FFE4F2E8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A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40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3.85" hidden="false" customHeight="false" outlineLevel="0" collapsed="false">
      <c r="A4" s="4" t="n">
        <v>1</v>
      </c>
      <c r="B4" s="5" t="s">
        <v>10</v>
      </c>
      <c r="C4" s="5" t="s">
        <v>11</v>
      </c>
      <c r="D4" s="5" t="s">
        <v>12</v>
      </c>
      <c r="E4" s="6" t="s">
        <v>13</v>
      </c>
      <c r="F4" s="6" t="s">
        <v>14</v>
      </c>
      <c r="G4" s="7" t="s">
        <v>15</v>
      </c>
      <c r="H4" s="5" t="s">
        <v>16</v>
      </c>
    </row>
    <row r="5" customFormat="false" ht="23.85" hidden="false" customHeight="false" outlineLevel="0" collapsed="false">
      <c r="A5" s="4" t="n">
        <v>2</v>
      </c>
      <c r="B5" s="5" t="s">
        <v>10</v>
      </c>
      <c r="C5" s="5" t="s">
        <v>17</v>
      </c>
      <c r="D5" s="5" t="s">
        <v>18</v>
      </c>
      <c r="E5" s="6" t="s">
        <v>13</v>
      </c>
      <c r="F5" s="6" t="s">
        <v>14</v>
      </c>
      <c r="G5" s="8" t="s">
        <v>19</v>
      </c>
      <c r="H5" s="5" t="s">
        <v>20</v>
      </c>
    </row>
    <row r="6" customFormat="false" ht="23.85" hidden="false" customHeight="false" outlineLevel="0" collapsed="false">
      <c r="A6" s="4" t="n">
        <v>3</v>
      </c>
      <c r="B6" s="5" t="s">
        <v>10</v>
      </c>
      <c r="C6" s="5" t="s">
        <v>21</v>
      </c>
      <c r="D6" s="5" t="s">
        <v>18</v>
      </c>
      <c r="E6" s="6" t="s">
        <v>13</v>
      </c>
      <c r="F6" s="6" t="s">
        <v>14</v>
      </c>
      <c r="G6" s="8" t="s">
        <v>19</v>
      </c>
      <c r="H6" s="5" t="s">
        <v>20</v>
      </c>
    </row>
    <row r="7" customFormat="false" ht="23.85" hidden="false" customHeight="false" outlineLevel="0" collapsed="false">
      <c r="A7" s="4" t="n">
        <v>4</v>
      </c>
      <c r="B7" s="5" t="s">
        <v>10</v>
      </c>
      <c r="C7" s="5" t="s">
        <v>22</v>
      </c>
      <c r="D7" s="5" t="s">
        <v>23</v>
      </c>
      <c r="E7" s="6" t="s">
        <v>13</v>
      </c>
      <c r="F7" s="6" t="s">
        <v>14</v>
      </c>
      <c r="G7" s="8" t="s">
        <v>19</v>
      </c>
      <c r="H7" s="5" t="s">
        <v>20</v>
      </c>
    </row>
    <row r="8" customFormat="false" ht="23.85" hidden="false" customHeight="false" outlineLevel="0" collapsed="false">
      <c r="A8" s="4" t="n">
        <v>5</v>
      </c>
      <c r="B8" s="5" t="s">
        <v>10</v>
      </c>
      <c r="C8" s="5" t="s">
        <v>24</v>
      </c>
      <c r="D8" s="5" t="s">
        <v>23</v>
      </c>
      <c r="E8" s="6" t="s">
        <v>13</v>
      </c>
      <c r="F8" s="6" t="s">
        <v>14</v>
      </c>
      <c r="G8" s="7" t="s">
        <v>15</v>
      </c>
      <c r="H8" s="5" t="s">
        <v>25</v>
      </c>
    </row>
    <row r="9" customFormat="false" ht="23.85" hidden="false" customHeight="false" outlineLevel="0" collapsed="false">
      <c r="A9" s="4" t="n">
        <v>6</v>
      </c>
      <c r="B9" s="5" t="s">
        <v>10</v>
      </c>
      <c r="C9" s="5" t="s">
        <v>26</v>
      </c>
      <c r="D9" s="5" t="s">
        <v>27</v>
      </c>
      <c r="E9" s="6" t="s">
        <v>13</v>
      </c>
      <c r="F9" s="6" t="s">
        <v>14</v>
      </c>
      <c r="G9" s="7" t="s">
        <v>15</v>
      </c>
      <c r="H9" s="5" t="s">
        <v>28</v>
      </c>
    </row>
    <row r="10" customFormat="false" ht="23.85" hidden="false" customHeight="false" outlineLevel="0" collapsed="false">
      <c r="A10" s="4" t="n">
        <v>7</v>
      </c>
      <c r="B10" s="5" t="s">
        <v>10</v>
      </c>
      <c r="C10" s="5" t="s">
        <v>29</v>
      </c>
      <c r="D10" s="5" t="s">
        <v>30</v>
      </c>
      <c r="E10" s="6" t="s">
        <v>13</v>
      </c>
      <c r="F10" s="6" t="s">
        <v>14</v>
      </c>
      <c r="G10" s="8" t="s">
        <v>19</v>
      </c>
      <c r="H10" s="5" t="s">
        <v>31</v>
      </c>
    </row>
    <row r="11" customFormat="false" ht="23.85" hidden="false" customHeight="false" outlineLevel="0" collapsed="false">
      <c r="A11" s="4" t="n">
        <v>8</v>
      </c>
      <c r="B11" s="5" t="s">
        <v>10</v>
      </c>
      <c r="C11" s="5" t="s">
        <v>32</v>
      </c>
      <c r="D11" s="5" t="s">
        <v>33</v>
      </c>
      <c r="E11" s="6" t="s">
        <v>34</v>
      </c>
      <c r="F11" s="6" t="s">
        <v>14</v>
      </c>
      <c r="G11" s="8" t="s">
        <v>19</v>
      </c>
      <c r="H11" s="5" t="s">
        <v>20</v>
      </c>
    </row>
    <row r="12" customFormat="false" ht="23.85" hidden="false" customHeight="false" outlineLevel="0" collapsed="false">
      <c r="A12" s="4" t="n">
        <v>9</v>
      </c>
      <c r="B12" s="5" t="s">
        <v>10</v>
      </c>
      <c r="C12" s="5" t="s">
        <v>35</v>
      </c>
      <c r="D12" s="5" t="s">
        <v>36</v>
      </c>
      <c r="E12" s="6" t="s">
        <v>37</v>
      </c>
      <c r="F12" s="6" t="s">
        <v>14</v>
      </c>
      <c r="G12" s="7" t="s">
        <v>15</v>
      </c>
      <c r="H12" s="5" t="s">
        <v>38</v>
      </c>
    </row>
    <row r="13" customFormat="false" ht="15" hidden="false" customHeight="false" outlineLevel="0" collapsed="false">
      <c r="A13" s="4" t="n">
        <v>10</v>
      </c>
      <c r="B13" s="5" t="s">
        <v>39</v>
      </c>
      <c r="C13" s="5" t="s">
        <v>40</v>
      </c>
      <c r="D13" s="5" t="s">
        <v>41</v>
      </c>
      <c r="E13" s="6" t="s">
        <v>13</v>
      </c>
      <c r="F13" s="6" t="s">
        <v>42</v>
      </c>
      <c r="G13" s="7" t="s">
        <v>15</v>
      </c>
      <c r="H13" s="5" t="s">
        <v>43</v>
      </c>
    </row>
    <row r="14" customFormat="false" ht="23.85" hidden="false" customHeight="false" outlineLevel="0" collapsed="false">
      <c r="A14" s="4" t="n">
        <v>11</v>
      </c>
      <c r="B14" s="5" t="s">
        <v>39</v>
      </c>
      <c r="C14" s="5" t="s">
        <v>44</v>
      </c>
      <c r="D14" s="5" t="s">
        <v>45</v>
      </c>
      <c r="E14" s="6" t="s">
        <v>13</v>
      </c>
      <c r="F14" s="6" t="s">
        <v>46</v>
      </c>
      <c r="G14" s="7" t="s">
        <v>15</v>
      </c>
      <c r="H14" s="5"/>
    </row>
    <row r="15" customFormat="false" ht="15" hidden="false" customHeight="false" outlineLevel="0" collapsed="false">
      <c r="A15" s="4" t="n">
        <v>12</v>
      </c>
      <c r="B15" s="5" t="s">
        <v>39</v>
      </c>
      <c r="C15" s="5" t="s">
        <v>47</v>
      </c>
      <c r="D15" s="5" t="s">
        <v>48</v>
      </c>
      <c r="E15" s="6" t="s">
        <v>13</v>
      </c>
      <c r="F15" s="6" t="s">
        <v>49</v>
      </c>
      <c r="G15" s="7" t="s">
        <v>15</v>
      </c>
      <c r="H15" s="5"/>
    </row>
    <row r="16" customFormat="false" ht="15" hidden="false" customHeight="false" outlineLevel="0" collapsed="false">
      <c r="A16" s="4" t="n">
        <v>13</v>
      </c>
      <c r="B16" s="5" t="s">
        <v>39</v>
      </c>
      <c r="C16" s="5" t="s">
        <v>50</v>
      </c>
      <c r="D16" s="5" t="s">
        <v>51</v>
      </c>
      <c r="E16" s="6" t="s">
        <v>52</v>
      </c>
      <c r="F16" s="6" t="s">
        <v>49</v>
      </c>
      <c r="G16" s="7" t="s">
        <v>15</v>
      </c>
      <c r="H16" s="5" t="s">
        <v>53</v>
      </c>
    </row>
    <row r="17" customFormat="false" ht="23.85" hidden="false" customHeight="false" outlineLevel="0" collapsed="false">
      <c r="A17" s="4" t="n">
        <v>14</v>
      </c>
      <c r="B17" s="5" t="s">
        <v>39</v>
      </c>
      <c r="C17" s="5" t="s">
        <v>54</v>
      </c>
      <c r="D17" s="5" t="s">
        <v>55</v>
      </c>
      <c r="E17" s="6" t="s">
        <v>13</v>
      </c>
      <c r="F17" s="6" t="s">
        <v>14</v>
      </c>
      <c r="G17" s="7" t="s">
        <v>15</v>
      </c>
      <c r="H17" s="5"/>
    </row>
    <row r="18" customFormat="false" ht="23.85" hidden="false" customHeight="false" outlineLevel="0" collapsed="false">
      <c r="A18" s="4" t="n">
        <v>15</v>
      </c>
      <c r="B18" s="5" t="s">
        <v>39</v>
      </c>
      <c r="C18" s="5" t="s">
        <v>56</v>
      </c>
      <c r="D18" s="5" t="s">
        <v>57</v>
      </c>
      <c r="E18" s="6" t="s">
        <v>13</v>
      </c>
      <c r="F18" s="6" t="s">
        <v>14</v>
      </c>
      <c r="G18" s="7" t="s">
        <v>15</v>
      </c>
      <c r="H18" s="5" t="s">
        <v>58</v>
      </c>
    </row>
    <row r="19" customFormat="false" ht="15" hidden="false" customHeight="false" outlineLevel="0" collapsed="false">
      <c r="A19" s="4" t="n">
        <v>16</v>
      </c>
      <c r="B19" s="5" t="s">
        <v>39</v>
      </c>
      <c r="C19" s="5" t="s">
        <v>59</v>
      </c>
      <c r="D19" s="5" t="s">
        <v>60</v>
      </c>
      <c r="E19" s="6" t="s">
        <v>13</v>
      </c>
      <c r="F19" s="6" t="s">
        <v>14</v>
      </c>
      <c r="G19" s="7" t="s">
        <v>15</v>
      </c>
      <c r="H19" s="5" t="s">
        <v>61</v>
      </c>
    </row>
    <row r="20" customFormat="false" ht="15" hidden="false" customHeight="false" outlineLevel="0" collapsed="false">
      <c r="A20" s="4" t="n">
        <v>17</v>
      </c>
      <c r="B20" s="5" t="s">
        <v>39</v>
      </c>
      <c r="C20" s="5" t="s">
        <v>62</v>
      </c>
      <c r="D20" s="5" t="s">
        <v>63</v>
      </c>
      <c r="E20" s="6" t="s">
        <v>13</v>
      </c>
      <c r="F20" s="6" t="s">
        <v>14</v>
      </c>
      <c r="G20" s="7" t="s">
        <v>15</v>
      </c>
      <c r="H20" s="5"/>
    </row>
    <row r="21" customFormat="false" ht="15" hidden="false" customHeight="false" outlineLevel="0" collapsed="false">
      <c r="A21" s="4" t="n">
        <v>18</v>
      </c>
      <c r="B21" s="5" t="s">
        <v>39</v>
      </c>
      <c r="C21" s="5" t="s">
        <v>64</v>
      </c>
      <c r="D21" s="5" t="s">
        <v>41</v>
      </c>
      <c r="E21" s="6" t="s">
        <v>13</v>
      </c>
      <c r="F21" s="6" t="s">
        <v>14</v>
      </c>
      <c r="G21" s="7" t="s">
        <v>15</v>
      </c>
      <c r="H21" s="5"/>
    </row>
    <row r="22" customFormat="false" ht="23.85" hidden="false" customHeight="false" outlineLevel="0" collapsed="false">
      <c r="A22" s="4" t="n">
        <v>19</v>
      </c>
      <c r="B22" s="5" t="s">
        <v>39</v>
      </c>
      <c r="C22" s="5" t="s">
        <v>65</v>
      </c>
      <c r="D22" s="5" t="s">
        <v>66</v>
      </c>
      <c r="E22" s="6" t="s">
        <v>13</v>
      </c>
      <c r="F22" s="6" t="s">
        <v>67</v>
      </c>
      <c r="G22" s="8" t="s">
        <v>19</v>
      </c>
      <c r="H22" s="5" t="s">
        <v>68</v>
      </c>
    </row>
    <row r="23" customFormat="false" ht="23.85" hidden="false" customHeight="false" outlineLevel="0" collapsed="false">
      <c r="A23" s="4" t="n">
        <v>20</v>
      </c>
      <c r="B23" s="5" t="s">
        <v>69</v>
      </c>
      <c r="C23" s="5" t="s">
        <v>70</v>
      </c>
      <c r="D23" s="5" t="s">
        <v>71</v>
      </c>
      <c r="E23" s="6" t="s">
        <v>13</v>
      </c>
      <c r="F23" s="6" t="s">
        <v>49</v>
      </c>
      <c r="G23" s="7" t="s">
        <v>15</v>
      </c>
      <c r="H23" s="5"/>
    </row>
    <row r="24" customFormat="false" ht="15" hidden="false" customHeight="false" outlineLevel="0" collapsed="false">
      <c r="A24" s="4" t="n">
        <v>21</v>
      </c>
      <c r="B24" s="5" t="s">
        <v>69</v>
      </c>
      <c r="C24" s="5" t="s">
        <v>72</v>
      </c>
      <c r="D24" s="5" t="s">
        <v>73</v>
      </c>
      <c r="E24" s="6" t="s">
        <v>37</v>
      </c>
      <c r="F24" s="6" t="s">
        <v>49</v>
      </c>
      <c r="G24" s="9" t="s">
        <v>74</v>
      </c>
      <c r="H24" s="5" t="s">
        <v>75</v>
      </c>
    </row>
    <row r="25" customFormat="false" ht="15" hidden="false" customHeight="false" outlineLevel="0" collapsed="false">
      <c r="A25" s="4" t="n">
        <v>22</v>
      </c>
      <c r="B25" s="5" t="s">
        <v>76</v>
      </c>
      <c r="C25" s="5" t="s">
        <v>77</v>
      </c>
      <c r="D25" s="5" t="s">
        <v>73</v>
      </c>
      <c r="E25" s="6" t="s">
        <v>13</v>
      </c>
      <c r="F25" s="6" t="s">
        <v>14</v>
      </c>
      <c r="G25" s="7" t="s">
        <v>15</v>
      </c>
      <c r="H25" s="5"/>
    </row>
    <row r="26" customFormat="false" ht="15" hidden="false" customHeight="false" outlineLevel="0" collapsed="false">
      <c r="A26" s="4" t="n">
        <v>23</v>
      </c>
      <c r="B26" s="5" t="s">
        <v>76</v>
      </c>
      <c r="C26" s="5" t="s">
        <v>78</v>
      </c>
      <c r="D26" s="5" t="s">
        <v>79</v>
      </c>
      <c r="E26" s="6" t="s">
        <v>13</v>
      </c>
      <c r="F26" s="6" t="s">
        <v>14</v>
      </c>
      <c r="G26" s="7" t="s">
        <v>15</v>
      </c>
      <c r="H26" s="5"/>
    </row>
    <row r="27" customFormat="false" ht="15" hidden="false" customHeight="false" outlineLevel="0" collapsed="false">
      <c r="A27" s="4" t="n">
        <v>24</v>
      </c>
      <c r="B27" s="5" t="s">
        <v>76</v>
      </c>
      <c r="C27" s="5" t="s">
        <v>80</v>
      </c>
      <c r="D27" s="5" t="s">
        <v>81</v>
      </c>
      <c r="E27" s="6" t="s">
        <v>37</v>
      </c>
      <c r="F27" s="6" t="s">
        <v>14</v>
      </c>
      <c r="G27" s="7" t="s">
        <v>15</v>
      </c>
      <c r="H27" s="5" t="s">
        <v>82</v>
      </c>
    </row>
    <row r="28" customFormat="false" ht="15" hidden="false" customHeight="false" outlineLevel="0" collapsed="false">
      <c r="A28" s="4" t="n">
        <v>25</v>
      </c>
      <c r="B28" s="5" t="s">
        <v>76</v>
      </c>
      <c r="C28" s="5" t="s">
        <v>83</v>
      </c>
      <c r="D28" s="5" t="s">
        <v>84</v>
      </c>
      <c r="E28" s="6" t="s">
        <v>37</v>
      </c>
      <c r="F28" s="6" t="s">
        <v>14</v>
      </c>
      <c r="G28" s="7" t="s">
        <v>15</v>
      </c>
      <c r="H28" s="5" t="s">
        <v>82</v>
      </c>
    </row>
    <row r="29" customFormat="false" ht="23.85" hidden="false" customHeight="false" outlineLevel="0" collapsed="false">
      <c r="A29" s="4" t="n">
        <v>26</v>
      </c>
      <c r="B29" s="5" t="s">
        <v>76</v>
      </c>
      <c r="C29" s="5" t="s">
        <v>85</v>
      </c>
      <c r="D29" s="5" t="s">
        <v>86</v>
      </c>
      <c r="E29" s="6" t="s">
        <v>13</v>
      </c>
      <c r="F29" s="6" t="s">
        <v>14</v>
      </c>
      <c r="G29" s="7" t="s">
        <v>15</v>
      </c>
      <c r="H29" s="5"/>
    </row>
    <row r="30" customFormat="false" ht="15" hidden="false" customHeight="false" outlineLevel="0" collapsed="false">
      <c r="A30" s="4" t="n">
        <v>27</v>
      </c>
      <c r="B30" s="5" t="s">
        <v>87</v>
      </c>
      <c r="C30" s="5" t="s">
        <v>88</v>
      </c>
      <c r="D30" s="5" t="s">
        <v>41</v>
      </c>
      <c r="E30" s="6" t="s">
        <v>13</v>
      </c>
      <c r="F30" s="6" t="s">
        <v>14</v>
      </c>
      <c r="G30" s="7" t="s">
        <v>15</v>
      </c>
      <c r="H30" s="5"/>
    </row>
    <row r="31" customFormat="false" ht="15" hidden="false" customHeight="false" outlineLevel="0" collapsed="false">
      <c r="A31" s="4" t="n">
        <v>28</v>
      </c>
      <c r="B31" s="5" t="s">
        <v>87</v>
      </c>
      <c r="C31" s="5" t="s">
        <v>89</v>
      </c>
      <c r="D31" s="5" t="s">
        <v>90</v>
      </c>
      <c r="E31" s="6" t="s">
        <v>13</v>
      </c>
      <c r="F31" s="6" t="s">
        <v>14</v>
      </c>
      <c r="G31" s="7" t="s">
        <v>15</v>
      </c>
      <c r="H31" s="5"/>
    </row>
    <row r="32" customFormat="false" ht="15" hidden="false" customHeight="false" outlineLevel="0" collapsed="false">
      <c r="A32" s="4" t="n">
        <v>29</v>
      </c>
      <c r="B32" s="5" t="s">
        <v>87</v>
      </c>
      <c r="C32" s="5" t="s">
        <v>91</v>
      </c>
      <c r="D32" s="5" t="s">
        <v>73</v>
      </c>
      <c r="E32" s="6" t="s">
        <v>13</v>
      </c>
      <c r="F32" s="6" t="s">
        <v>14</v>
      </c>
      <c r="G32" s="7" t="s">
        <v>15</v>
      </c>
      <c r="H32" s="5"/>
    </row>
    <row r="33" customFormat="false" ht="15" hidden="false" customHeight="false" outlineLevel="0" collapsed="false">
      <c r="A33" s="4" t="n">
        <v>30</v>
      </c>
      <c r="B33" s="5" t="s">
        <v>87</v>
      </c>
      <c r="C33" s="5" t="s">
        <v>92</v>
      </c>
      <c r="D33" s="5" t="s">
        <v>55</v>
      </c>
      <c r="E33" s="6" t="s">
        <v>13</v>
      </c>
      <c r="F33" s="6" t="s">
        <v>14</v>
      </c>
      <c r="G33" s="7" t="s">
        <v>15</v>
      </c>
      <c r="H33" s="5"/>
    </row>
    <row r="34" customFormat="false" ht="23.85" hidden="false" customHeight="false" outlineLevel="0" collapsed="false">
      <c r="A34" s="4" t="n">
        <v>31</v>
      </c>
      <c r="B34" s="5" t="s">
        <v>87</v>
      </c>
      <c r="C34" s="5" t="s">
        <v>93</v>
      </c>
      <c r="D34" s="5" t="s">
        <v>94</v>
      </c>
      <c r="E34" s="6" t="s">
        <v>13</v>
      </c>
      <c r="F34" s="6" t="s">
        <v>42</v>
      </c>
      <c r="G34" s="7" t="s">
        <v>15</v>
      </c>
      <c r="H34" s="5" t="s">
        <v>95</v>
      </c>
    </row>
    <row r="35" customFormat="false" ht="23.85" hidden="false" customHeight="false" outlineLevel="0" collapsed="false">
      <c r="A35" s="4" t="n">
        <v>32</v>
      </c>
      <c r="B35" s="5" t="s">
        <v>96</v>
      </c>
      <c r="C35" s="5" t="s">
        <v>97</v>
      </c>
      <c r="D35" s="5" t="s">
        <v>98</v>
      </c>
      <c r="E35" s="6" t="s">
        <v>13</v>
      </c>
      <c r="F35" s="6" t="s">
        <v>14</v>
      </c>
      <c r="G35" s="8" t="s">
        <v>19</v>
      </c>
      <c r="H35" s="5" t="s">
        <v>99</v>
      </c>
    </row>
    <row r="36" customFormat="false" ht="23.85" hidden="false" customHeight="false" outlineLevel="0" collapsed="false">
      <c r="A36" s="4" t="n">
        <v>33</v>
      </c>
      <c r="B36" s="5" t="s">
        <v>96</v>
      </c>
      <c r="C36" s="5" t="s">
        <v>100</v>
      </c>
      <c r="D36" s="5" t="s">
        <v>101</v>
      </c>
      <c r="E36" s="6" t="s">
        <v>13</v>
      </c>
      <c r="F36" s="6" t="s">
        <v>14</v>
      </c>
      <c r="G36" s="8" t="s">
        <v>19</v>
      </c>
      <c r="H36" s="5" t="s">
        <v>20</v>
      </c>
    </row>
    <row r="37" customFormat="false" ht="23.85" hidden="false" customHeight="false" outlineLevel="0" collapsed="false">
      <c r="A37" s="4" t="n">
        <v>34</v>
      </c>
      <c r="B37" s="5" t="s">
        <v>96</v>
      </c>
      <c r="C37" s="5" t="s">
        <v>102</v>
      </c>
      <c r="D37" s="5" t="s">
        <v>101</v>
      </c>
      <c r="E37" s="6" t="s">
        <v>13</v>
      </c>
      <c r="F37" s="6" t="s">
        <v>14</v>
      </c>
      <c r="G37" s="8" t="s">
        <v>19</v>
      </c>
      <c r="H37" s="5" t="s">
        <v>20</v>
      </c>
    </row>
    <row r="38" customFormat="false" ht="23.85" hidden="false" customHeight="false" outlineLevel="0" collapsed="false">
      <c r="A38" s="4" t="n">
        <v>35</v>
      </c>
      <c r="B38" s="5" t="s">
        <v>96</v>
      </c>
      <c r="C38" s="5" t="s">
        <v>103</v>
      </c>
      <c r="D38" s="5" t="s">
        <v>101</v>
      </c>
      <c r="E38" s="6" t="s">
        <v>13</v>
      </c>
      <c r="F38" s="6" t="s">
        <v>14</v>
      </c>
      <c r="G38" s="8" t="s">
        <v>19</v>
      </c>
      <c r="H38" s="5" t="s">
        <v>20</v>
      </c>
    </row>
    <row r="39" customFormat="false" ht="23.85" hidden="false" customHeight="false" outlineLevel="0" collapsed="false">
      <c r="A39" s="4" t="n">
        <v>36</v>
      </c>
      <c r="B39" s="5" t="s">
        <v>96</v>
      </c>
      <c r="C39" s="5" t="s">
        <v>104</v>
      </c>
      <c r="D39" s="5" t="s">
        <v>105</v>
      </c>
      <c r="E39" s="6" t="s">
        <v>37</v>
      </c>
      <c r="F39" s="6" t="s">
        <v>14</v>
      </c>
      <c r="G39" s="8" t="s">
        <v>19</v>
      </c>
      <c r="H39" s="5" t="s">
        <v>20</v>
      </c>
    </row>
    <row r="40" customFormat="false" ht="23.85" hidden="false" customHeight="false" outlineLevel="0" collapsed="false">
      <c r="A40" s="4" t="n">
        <v>37</v>
      </c>
      <c r="B40" s="5" t="s">
        <v>106</v>
      </c>
      <c r="C40" s="5" t="s">
        <v>107</v>
      </c>
      <c r="D40" s="5" t="s">
        <v>108</v>
      </c>
      <c r="E40" s="6" t="s">
        <v>13</v>
      </c>
      <c r="F40" s="6" t="s">
        <v>14</v>
      </c>
      <c r="G40" s="7" t="s">
        <v>15</v>
      </c>
      <c r="H40" s="5" t="s">
        <v>109</v>
      </c>
    </row>
    <row r="41" customFormat="false" ht="23.85" hidden="false" customHeight="false" outlineLevel="0" collapsed="false">
      <c r="A41" s="4" t="n">
        <v>38</v>
      </c>
      <c r="B41" s="5" t="s">
        <v>106</v>
      </c>
      <c r="C41" s="5" t="s">
        <v>110</v>
      </c>
      <c r="D41" s="5" t="s">
        <v>111</v>
      </c>
      <c r="E41" s="6" t="s">
        <v>13</v>
      </c>
      <c r="F41" s="6" t="s">
        <v>14</v>
      </c>
      <c r="G41" s="7" t="s">
        <v>15</v>
      </c>
      <c r="H41" s="5"/>
    </row>
    <row r="42" customFormat="false" ht="23.85" hidden="false" customHeight="false" outlineLevel="0" collapsed="false">
      <c r="A42" s="4" t="n">
        <v>39</v>
      </c>
      <c r="B42" s="5" t="s">
        <v>106</v>
      </c>
      <c r="C42" s="5" t="s">
        <v>112</v>
      </c>
      <c r="D42" s="5" t="s">
        <v>113</v>
      </c>
      <c r="E42" s="6" t="s">
        <v>13</v>
      </c>
      <c r="F42" s="6" t="s">
        <v>14</v>
      </c>
      <c r="G42" s="7" t="s">
        <v>15</v>
      </c>
      <c r="H42" s="5" t="s">
        <v>114</v>
      </c>
    </row>
    <row r="43" customFormat="false" ht="23.85" hidden="false" customHeight="false" outlineLevel="0" collapsed="false">
      <c r="A43" s="4" t="n">
        <v>40</v>
      </c>
      <c r="B43" s="5" t="s">
        <v>106</v>
      </c>
      <c r="C43" s="5" t="s">
        <v>115</v>
      </c>
      <c r="D43" s="5" t="s">
        <v>116</v>
      </c>
      <c r="E43" s="6" t="s">
        <v>13</v>
      </c>
      <c r="F43" s="6" t="s">
        <v>14</v>
      </c>
      <c r="G43" s="7" t="s">
        <v>15</v>
      </c>
      <c r="H43" s="5"/>
    </row>
    <row r="44" customFormat="false" ht="23.85" hidden="false" customHeight="false" outlineLevel="0" collapsed="false">
      <c r="A44" s="4" t="n">
        <v>41</v>
      </c>
      <c r="B44" s="5" t="s">
        <v>106</v>
      </c>
      <c r="C44" s="5" t="s">
        <v>117</v>
      </c>
      <c r="D44" s="5" t="s">
        <v>94</v>
      </c>
      <c r="E44" s="6" t="s">
        <v>13</v>
      </c>
      <c r="F44" s="6" t="s">
        <v>14</v>
      </c>
      <c r="G44" s="7" t="s">
        <v>15</v>
      </c>
      <c r="H44" s="5"/>
    </row>
    <row r="45" customFormat="false" ht="23.85" hidden="false" customHeight="false" outlineLevel="0" collapsed="false">
      <c r="A45" s="4" t="n">
        <v>42</v>
      </c>
      <c r="B45" s="5" t="s">
        <v>118</v>
      </c>
      <c r="C45" s="5" t="s">
        <v>119</v>
      </c>
      <c r="D45" s="5" t="s">
        <v>120</v>
      </c>
      <c r="E45" s="6" t="s">
        <v>13</v>
      </c>
      <c r="F45" s="6" t="s">
        <v>14</v>
      </c>
      <c r="G45" s="7" t="s">
        <v>15</v>
      </c>
      <c r="H45" s="5" t="s">
        <v>121</v>
      </c>
    </row>
    <row r="46" customFormat="false" ht="23.85" hidden="false" customHeight="false" outlineLevel="0" collapsed="false">
      <c r="A46" s="4" t="n">
        <v>43</v>
      </c>
      <c r="B46" s="5" t="s">
        <v>118</v>
      </c>
      <c r="C46" s="5" t="s">
        <v>122</v>
      </c>
      <c r="D46" s="5" t="s">
        <v>123</v>
      </c>
      <c r="E46" s="6" t="s">
        <v>13</v>
      </c>
      <c r="F46" s="6" t="s">
        <v>14</v>
      </c>
      <c r="G46" s="7" t="s">
        <v>15</v>
      </c>
      <c r="H46" s="5"/>
    </row>
    <row r="47" customFormat="false" ht="23.85" hidden="false" customHeight="false" outlineLevel="0" collapsed="false">
      <c r="A47" s="4" t="n">
        <v>44</v>
      </c>
      <c r="B47" s="5" t="s">
        <v>118</v>
      </c>
      <c r="C47" s="5" t="s">
        <v>124</v>
      </c>
      <c r="D47" s="5" t="s">
        <v>41</v>
      </c>
      <c r="E47" s="6" t="s">
        <v>13</v>
      </c>
      <c r="F47" s="6" t="s">
        <v>14</v>
      </c>
      <c r="G47" s="7" t="s">
        <v>15</v>
      </c>
      <c r="H47" s="5"/>
    </row>
    <row r="48" customFormat="false" ht="23.85" hidden="false" customHeight="false" outlineLevel="0" collapsed="false">
      <c r="A48" s="4" t="n">
        <v>45</v>
      </c>
      <c r="B48" s="5" t="s">
        <v>118</v>
      </c>
      <c r="C48" s="5" t="s">
        <v>125</v>
      </c>
      <c r="D48" s="5" t="s">
        <v>126</v>
      </c>
      <c r="E48" s="6" t="s">
        <v>13</v>
      </c>
      <c r="F48" s="6" t="s">
        <v>14</v>
      </c>
      <c r="G48" s="7" t="s">
        <v>15</v>
      </c>
      <c r="H48" s="5"/>
    </row>
    <row r="49" customFormat="false" ht="23.85" hidden="false" customHeight="false" outlineLevel="0" collapsed="false">
      <c r="A49" s="4" t="n">
        <v>46</v>
      </c>
      <c r="B49" s="5" t="s">
        <v>118</v>
      </c>
      <c r="C49" s="5" t="s">
        <v>127</v>
      </c>
      <c r="D49" s="5" t="s">
        <v>105</v>
      </c>
      <c r="E49" s="6" t="s">
        <v>13</v>
      </c>
      <c r="F49" s="6" t="s">
        <v>14</v>
      </c>
      <c r="G49" s="7" t="s">
        <v>15</v>
      </c>
      <c r="H49" s="5" t="s">
        <v>61</v>
      </c>
    </row>
    <row r="50" customFormat="false" ht="23.85" hidden="false" customHeight="false" outlineLevel="0" collapsed="false">
      <c r="A50" s="4" t="n">
        <v>47</v>
      </c>
      <c r="B50" s="5" t="s">
        <v>118</v>
      </c>
      <c r="C50" s="5" t="s">
        <v>128</v>
      </c>
      <c r="D50" s="5" t="s">
        <v>41</v>
      </c>
      <c r="E50" s="6" t="s">
        <v>13</v>
      </c>
      <c r="F50" s="6" t="s">
        <v>14</v>
      </c>
      <c r="G50" s="7" t="s">
        <v>15</v>
      </c>
      <c r="H50" s="5"/>
    </row>
    <row r="51" customFormat="false" ht="23.85" hidden="false" customHeight="false" outlineLevel="0" collapsed="false">
      <c r="A51" s="4" t="n">
        <v>48</v>
      </c>
      <c r="B51" s="5" t="s">
        <v>129</v>
      </c>
      <c r="C51" s="5" t="s">
        <v>130</v>
      </c>
      <c r="D51" s="5" t="s">
        <v>131</v>
      </c>
      <c r="E51" s="6" t="s">
        <v>13</v>
      </c>
      <c r="F51" s="6" t="s">
        <v>14</v>
      </c>
      <c r="G51" s="7" t="s">
        <v>15</v>
      </c>
      <c r="H51" s="5" t="s">
        <v>132</v>
      </c>
    </row>
    <row r="52" customFormat="false" ht="23.85" hidden="false" customHeight="false" outlineLevel="0" collapsed="false">
      <c r="A52" s="4" t="n">
        <v>49</v>
      </c>
      <c r="B52" s="5" t="s">
        <v>129</v>
      </c>
      <c r="C52" s="5" t="s">
        <v>133</v>
      </c>
      <c r="D52" s="5" t="s">
        <v>134</v>
      </c>
      <c r="E52" s="6" t="s">
        <v>135</v>
      </c>
      <c r="F52" s="6" t="s">
        <v>14</v>
      </c>
      <c r="G52" s="9" t="s">
        <v>74</v>
      </c>
      <c r="H52" s="5" t="s">
        <v>136</v>
      </c>
    </row>
    <row r="53" customFormat="false" ht="23.85" hidden="false" customHeight="false" outlineLevel="0" collapsed="false">
      <c r="A53" s="4" t="n">
        <v>50</v>
      </c>
      <c r="B53" s="5" t="s">
        <v>129</v>
      </c>
      <c r="C53" s="5" t="s">
        <v>137</v>
      </c>
      <c r="D53" s="5" t="s">
        <v>138</v>
      </c>
      <c r="E53" s="6" t="s">
        <v>139</v>
      </c>
      <c r="F53" s="6" t="s">
        <v>14</v>
      </c>
      <c r="G53" s="7" t="s">
        <v>15</v>
      </c>
      <c r="H53" s="5" t="s">
        <v>140</v>
      </c>
    </row>
  </sheetData>
  <autoFilter ref="A3:H53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0" t="s">
        <v>141</v>
      </c>
    </row>
    <row r="3" customFormat="false" ht="15" hidden="false" customHeight="false" outlineLevel="0" collapsed="false">
      <c r="A3" s="11" t="s">
        <v>142</v>
      </c>
      <c r="B3" s="12" t="n">
        <f aca="false">COUNTA(Blueprint!C4:C53)</f>
        <v>50</v>
      </c>
    </row>
    <row r="4" customFormat="false" ht="15" hidden="false" customHeight="false" outlineLevel="0" collapsed="false">
      <c r="A4" s="13" t="s">
        <v>143</v>
      </c>
      <c r="B4" s="12" t="n">
        <f aca="false">COUNTIF(Blueprint!G4:G53,"Previsto")</f>
        <v>37</v>
      </c>
    </row>
    <row r="5" customFormat="false" ht="15" hidden="false" customHeight="false" outlineLevel="0" collapsed="false">
      <c r="A5" s="13" t="s">
        <v>144</v>
      </c>
      <c r="B5" s="12" t="n">
        <f aca="false">COUNTIF(Blueprint!G4:G53,"A incluir")</f>
        <v>11</v>
      </c>
    </row>
    <row r="6" customFormat="false" ht="15" hidden="false" customHeight="false" outlineLevel="0" collapsed="false">
      <c r="A6" s="13" t="s">
        <v>145</v>
      </c>
      <c r="B6" s="12" t="n">
        <f aca="false">COUNTIF(Blueprint!G4:G53,"A decidir")</f>
        <v>2</v>
      </c>
    </row>
    <row r="7" customFormat="false" ht="15" hidden="false" customHeight="false" outlineLevel="0" collapsed="false">
      <c r="A7" s="13" t="s">
        <v>146</v>
      </c>
      <c r="B7" s="12" t="n">
        <f aca="false">COUNTIF(Blueprint!E4:E53,"Sim*")</f>
        <v>42</v>
      </c>
    </row>
    <row r="9" customFormat="false" ht="15" hidden="false" customHeight="false" outlineLevel="0" collapsed="false">
      <c r="A9" s="1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2026-07-15T13:24:24Z</dcterms:created>
  <dc:creator>openpyxl</dc:creator>
  <dc:description/>
  <dc:language>en-US</dc:language>
  <cp:lastModifiedBy/>
  <dcterms:modified xsi:type="dcterms:W3CDTF">2026-07-15T13:24:24Z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